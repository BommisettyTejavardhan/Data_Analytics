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vardhan\Day_1\Day_1\"/>
    </mc:Choice>
  </mc:AlternateContent>
  <xr:revisionPtr revIDLastSave="0" documentId="13_ncr:1_{4DA2A73D-6E89-448C-B459-E240E72A6409}" xr6:coauthVersionLast="47" xr6:coauthVersionMax="47" xr10:uidLastSave="{00000000-0000-0000-0000-000000000000}"/>
  <bookViews>
    <workbookView xWindow="-108" yWindow="-108" windowWidth="23256" windowHeight="12456" activeTab="1" xr2:uid="{E7C0BDFF-42B4-41CD-B2F1-22D05C8AAAD6}"/>
  </bookViews>
  <sheets>
    <sheet name="Sheet2" sheetId="4" r:id="rId1"/>
    <sheet name="Sheet3" sheetId="5" r:id="rId2"/>
    <sheet name="Sheet1" sheetId="1" r:id="rId3"/>
  </sheets>
  <definedNames>
    <definedName name="_xlchart.v1.0" hidden="1">Sheet1!$A$2:$A$14</definedName>
    <definedName name="_xlchart.v1.1" hidden="1">Sheet1!$B$1</definedName>
    <definedName name="_xlchart.v1.2" hidden="1">Sheet1!$B$2:$B$14</definedName>
    <definedName name="_xlchart.v1.3" hidden="1">Sheet1!$C$1</definedName>
    <definedName name="_xlchart.v1.4" hidden="1">Sheet1!$C$2:$C$14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6" i="1"/>
  <c r="B17" i="1"/>
  <c r="B15" i="1"/>
</calcChain>
</file>

<file path=xl/sharedStrings.xml><?xml version="1.0" encoding="utf-8"?>
<sst xmlns="http://schemas.openxmlformats.org/spreadsheetml/2006/main" count="78" uniqueCount="58">
  <si>
    <t>Name</t>
  </si>
  <si>
    <t>Marks</t>
  </si>
  <si>
    <t>Study Hours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</si>
  <si>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</si>
  <si>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</si>
  <si>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</si>
  <si>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</si>
  <si>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</si>
  <si>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</si>
  <si>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</si>
  <si>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</si>
  <si>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</si>
  <si>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</si>
  <si>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</si>
  <si>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</si>
  <si>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</si>
  <si>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</t>
  </si>
  <si>
    <t>Mean</t>
  </si>
  <si>
    <t>Median</t>
  </si>
  <si>
    <t>Mode</t>
  </si>
  <si>
    <t>Range</t>
  </si>
  <si>
    <t>Variance</t>
  </si>
  <si>
    <t>standard 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</si>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</sst>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2265055409740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30</c:v>
                </c:pt>
                <c:pt idx="1">
                  <c:v>20</c:v>
                </c:pt>
                <c:pt idx="2">
                  <c:v>15</c:v>
                </c:pt>
                <c:pt idx="3">
                  <c:v>60</c:v>
                </c:pt>
                <c:pt idx="4">
                  <c:v>40</c:v>
                </c:pt>
                <c:pt idx="5">
                  <c:v>60</c:v>
                </c:pt>
                <c:pt idx="6">
                  <c:v>40</c:v>
                </c:pt>
                <c:pt idx="7">
                  <c:v>30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84</c:v>
                </c:pt>
                <c:pt idx="1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A-40A8-84CF-212E370136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A-40A8-84CF-212E3701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092656"/>
        <c:axId val="1044089776"/>
      </c:barChart>
      <c:catAx>
        <c:axId val="1044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9776"/>
        <c:crosses val="autoZero"/>
        <c:auto val="1"/>
        <c:lblAlgn val="ctr"/>
        <c:lblOffset val="100"/>
        <c:noMultiLvlLbl val="0"/>
      </c:catAx>
      <c:valAx>
        <c:axId val="1044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04-4983-9532-224266EBF5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04-4983-9532-224266EBF5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04-4983-9532-224266EBF5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04-4983-9532-224266EBF5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04-4983-9532-224266EBF5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04-4983-9532-224266EBF5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04-4983-9532-224266EBF5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04-4983-9532-224266EBF5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04-4983-9532-224266EBF5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04-4983-9532-224266EBF5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04-4983-9532-224266EBF5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04-4983-9532-224266EBF50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704-4983-9532-224266EBF50D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30</c:v>
                </c:pt>
                <c:pt idx="1">
                  <c:v>20</c:v>
                </c:pt>
                <c:pt idx="2">
                  <c:v>15</c:v>
                </c:pt>
                <c:pt idx="3">
                  <c:v>60</c:v>
                </c:pt>
                <c:pt idx="4">
                  <c:v>40</c:v>
                </c:pt>
                <c:pt idx="5">
                  <c:v>60</c:v>
                </c:pt>
                <c:pt idx="6">
                  <c:v>40</c:v>
                </c:pt>
                <c:pt idx="7">
                  <c:v>30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84</c:v>
                </c:pt>
                <c:pt idx="1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C41-ABBA-9B2A0981C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704-4983-9532-224266EBF5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704-4983-9532-224266EBF5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704-4983-9532-224266EBF5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704-4983-9532-224266EBF5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704-4983-9532-224266EBF5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704-4983-9532-224266EBF5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704-4983-9532-224266EBF5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704-4983-9532-224266EBF5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704-4983-9532-224266EBF5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704-4983-9532-224266EBF5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704-4983-9532-224266EBF5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704-4983-9532-224266EBF50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704-4983-9532-224266EBF50D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B-4C41-ABBA-9B2A0981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7E7D255B-7B52-472A-ABA1-CF43F2DAA638}" formatIdx="0">
          <cx:tx>
            <cx:txData>
              <cx:f>_xlchart.v1.1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C0398BD-4876-4325-86C7-895EBD1832E2}" formatIdx="1">
          <cx:axisId val="2"/>
        </cx:series>
        <cx:series layoutId="clusteredColumn" hidden="1" uniqueId="{F16E7D14-FB4F-46C9-B840-D4162EF87245}" formatIdx="2">
          <cx:tx>
            <cx:txData>
              <cx:f>_xlchart.v1.3</cx:f>
              <cx:v>Study Hours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AFD5FE8-FB00-409E-A5DD-76C86816679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42862</xdr:rowOff>
    </xdr:from>
    <xdr:to>
      <xdr:col>12</xdr:col>
      <xdr:colOff>133350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6048D-FD5D-3975-B42B-4211DB06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0</xdr:row>
      <xdr:rowOff>42862</xdr:rowOff>
    </xdr:from>
    <xdr:to>
      <xdr:col>19</xdr:col>
      <xdr:colOff>571500</xdr:colOff>
      <xdr:row>14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8F8B147-D375-B837-7704-35096487B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6820" y="4286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485775</xdr:colOff>
      <xdr:row>15</xdr:row>
      <xdr:rowOff>61912</xdr:rowOff>
    </xdr:from>
    <xdr:to>
      <xdr:col>12</xdr:col>
      <xdr:colOff>180975</xdr:colOff>
      <xdr:row>29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6D2E04-BE96-48E8-96A1-F72091F0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B8FF-1F01-4F60-B31B-D9BCE963863E}">
  <dimension ref="A1:I18"/>
  <sheetViews>
    <sheetView workbookViewId="0">
      <selection activeCell="K17" sqref="K17"/>
    </sheetView>
  </sheetViews>
  <sheetFormatPr defaultRowHeight="14.4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0.42902310375290681</v>
      </c>
    </row>
    <row r="5" spans="1:9" x14ac:dyDescent="0.3">
      <c r="A5" s="2" t="s">
        <v>27</v>
      </c>
      <c r="B5" s="2">
        <v>0.18406082355377745</v>
      </c>
    </row>
    <row r="6" spans="1:9" x14ac:dyDescent="0.3">
      <c r="A6" s="2" t="s">
        <v>28</v>
      </c>
      <c r="B6" s="2">
        <v>0.10988453478593901</v>
      </c>
    </row>
    <row r="7" spans="1:9" x14ac:dyDescent="0.3">
      <c r="A7" s="2" t="s">
        <v>29</v>
      </c>
      <c r="B7" s="2">
        <v>23.791459680293013</v>
      </c>
    </row>
    <row r="8" spans="1:9" ht="15" thickBot="1" x14ac:dyDescent="0.35">
      <c r="A8" s="3" t="s">
        <v>30</v>
      </c>
      <c r="B8" s="3">
        <v>13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8</v>
      </c>
      <c r="F11" s="4" t="s">
        <v>39</v>
      </c>
    </row>
    <row r="12" spans="1:9" x14ac:dyDescent="0.3">
      <c r="A12" s="2" t="s">
        <v>32</v>
      </c>
      <c r="B12" s="2">
        <v>1</v>
      </c>
      <c r="C12" s="2">
        <v>1404.553986013987</v>
      </c>
      <c r="D12" s="2">
        <v>1404.553986013987</v>
      </c>
      <c r="E12" s="2">
        <v>2.4813970422524445</v>
      </c>
      <c r="F12" s="2">
        <v>0.14350312861919476</v>
      </c>
    </row>
    <row r="13" spans="1:9" x14ac:dyDescent="0.3">
      <c r="A13" s="2" t="s">
        <v>33</v>
      </c>
      <c r="B13" s="2">
        <v>11</v>
      </c>
      <c r="C13" s="2">
        <v>6226.3690909090901</v>
      </c>
      <c r="D13" s="2">
        <v>566.03355371900818</v>
      </c>
      <c r="E13" s="2"/>
      <c r="F13" s="2"/>
    </row>
    <row r="14" spans="1:9" ht="15" thickBot="1" x14ac:dyDescent="0.35">
      <c r="A14" s="3" t="s">
        <v>34</v>
      </c>
      <c r="B14" s="3">
        <v>12</v>
      </c>
      <c r="C14" s="3">
        <v>7630.9230769230771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29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35</v>
      </c>
      <c r="B17" s="2">
        <v>31.20545454545455</v>
      </c>
      <c r="C17" s="2">
        <v>15.284550529818418</v>
      </c>
      <c r="D17" s="2">
        <v>2.0416337716033102</v>
      </c>
      <c r="E17" s="2">
        <v>6.5918475344538735E-2</v>
      </c>
      <c r="F17" s="2">
        <v>-2.4356143493465794</v>
      </c>
      <c r="G17" s="2">
        <v>64.84652344025568</v>
      </c>
      <c r="H17" s="2">
        <v>-2.4356143493465794</v>
      </c>
      <c r="I17" s="2">
        <v>64.84652344025568</v>
      </c>
    </row>
    <row r="18" spans="1:9" ht="15" thickBot="1" x14ac:dyDescent="0.35">
      <c r="A18" s="3" t="s">
        <v>47</v>
      </c>
      <c r="B18" s="3">
        <v>5.76181818181818</v>
      </c>
      <c r="C18" s="3">
        <v>3.657728107184246</v>
      </c>
      <c r="D18" s="3">
        <v>1.5752450737115293</v>
      </c>
      <c r="E18" s="3">
        <v>0.14350312861919501</v>
      </c>
      <c r="F18" s="3">
        <v>-2.2887871017444237</v>
      </c>
      <c r="G18" s="3">
        <v>13.812423465380784</v>
      </c>
      <c r="H18" s="3">
        <v>-2.2887871017444237</v>
      </c>
      <c r="I18" s="3">
        <v>13.812423465380784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DF6B-58A4-4147-B5A5-3D3B6D0487B1}">
  <dimension ref="A1:D15"/>
  <sheetViews>
    <sheetView tabSelected="1" workbookViewId="0">
      <selection activeCell="I10" sqref="I10"/>
    </sheetView>
  </sheetViews>
  <sheetFormatPr defaultRowHeight="14.4" x14ac:dyDescent="0.3"/>
  <sheetData>
    <row r="1" spans="1:4" x14ac:dyDescent="0.3">
      <c r="A1" s="4" t="s">
        <v>48</v>
      </c>
      <c r="B1" s="4"/>
      <c r="C1" s="4" t="s">
        <v>57</v>
      </c>
      <c r="D1" s="4"/>
    </row>
    <row r="2" spans="1:4" x14ac:dyDescent="0.3">
      <c r="A2" s="2"/>
      <c r="B2" s="2"/>
      <c r="C2" s="2"/>
      <c r="D2" s="2"/>
    </row>
    <row r="3" spans="1:4" x14ac:dyDescent="0.3">
      <c r="A3" s="2" t="s">
        <v>17</v>
      </c>
      <c r="B3" s="2">
        <v>52.92307692307692</v>
      </c>
      <c r="C3" s="2" t="s">
        <v>17</v>
      </c>
      <c r="D3" s="2">
        <v>3.7692307692307692</v>
      </c>
    </row>
    <row r="4" spans="1:4" x14ac:dyDescent="0.3">
      <c r="A4" s="2" t="s">
        <v>29</v>
      </c>
      <c r="B4" s="2">
        <v>6.994009834852946</v>
      </c>
      <c r="C4" s="2" t="s">
        <v>29</v>
      </c>
      <c r="D4" s="2">
        <v>0.52077169260486944</v>
      </c>
    </row>
    <row r="5" spans="1:4" x14ac:dyDescent="0.3">
      <c r="A5" s="2" t="s">
        <v>18</v>
      </c>
      <c r="B5" s="2">
        <v>60</v>
      </c>
      <c r="C5" s="2" t="s">
        <v>18</v>
      </c>
      <c r="D5" s="2">
        <v>3</v>
      </c>
    </row>
    <row r="6" spans="1:4" x14ac:dyDescent="0.3">
      <c r="A6" s="2" t="s">
        <v>19</v>
      </c>
      <c r="B6" s="2">
        <v>30</v>
      </c>
      <c r="C6" s="2" t="s">
        <v>19</v>
      </c>
      <c r="D6" s="2">
        <v>3</v>
      </c>
    </row>
    <row r="7" spans="1:4" x14ac:dyDescent="0.3">
      <c r="A7" s="2" t="s">
        <v>49</v>
      </c>
      <c r="B7" s="2">
        <v>25.217261080661725</v>
      </c>
      <c r="C7" s="2" t="s">
        <v>49</v>
      </c>
      <c r="D7" s="2">
        <v>1.8776690404970273</v>
      </c>
    </row>
    <row r="8" spans="1:4" x14ac:dyDescent="0.3">
      <c r="A8" s="2" t="s">
        <v>50</v>
      </c>
      <c r="B8" s="2">
        <v>635.91025641025647</v>
      </c>
      <c r="C8" s="2" t="s">
        <v>50</v>
      </c>
      <c r="D8" s="2">
        <v>3.5256410256410269</v>
      </c>
    </row>
    <row r="9" spans="1:4" x14ac:dyDescent="0.3">
      <c r="A9" s="2" t="s">
        <v>51</v>
      </c>
      <c r="B9" s="2">
        <v>-1.4150232512986203</v>
      </c>
      <c r="C9" s="2" t="s">
        <v>51</v>
      </c>
      <c r="D9" s="2">
        <v>0.8374445679939897</v>
      </c>
    </row>
    <row r="10" spans="1:4" x14ac:dyDescent="0.3">
      <c r="A10" s="2" t="s">
        <v>52</v>
      </c>
      <c r="B10" s="2">
        <v>-4.8849700956569368E-2</v>
      </c>
      <c r="C10" s="2" t="s">
        <v>52</v>
      </c>
      <c r="D10" s="2">
        <v>0.83979629536567857</v>
      </c>
    </row>
    <row r="11" spans="1:4" x14ac:dyDescent="0.3">
      <c r="A11" s="2" t="s">
        <v>20</v>
      </c>
      <c r="B11" s="2">
        <v>75</v>
      </c>
      <c r="C11" s="2" t="s">
        <v>20</v>
      </c>
      <c r="D11" s="2">
        <v>7</v>
      </c>
    </row>
    <row r="12" spans="1:4" x14ac:dyDescent="0.3">
      <c r="A12" s="2" t="s">
        <v>53</v>
      </c>
      <c r="B12" s="2">
        <v>15</v>
      </c>
      <c r="C12" s="2" t="s">
        <v>53</v>
      </c>
      <c r="D12" s="2">
        <v>1</v>
      </c>
    </row>
    <row r="13" spans="1:4" x14ac:dyDescent="0.3">
      <c r="A13" s="2" t="s">
        <v>54</v>
      </c>
      <c r="B13" s="2">
        <v>90</v>
      </c>
      <c r="C13" s="2" t="s">
        <v>54</v>
      </c>
      <c r="D13" s="2">
        <v>8</v>
      </c>
    </row>
    <row r="14" spans="1:4" x14ac:dyDescent="0.3">
      <c r="A14" s="2" t="s">
        <v>55</v>
      </c>
      <c r="B14" s="2">
        <v>688</v>
      </c>
      <c r="C14" s="2" t="s">
        <v>55</v>
      </c>
      <c r="D14" s="2">
        <v>49</v>
      </c>
    </row>
    <row r="15" spans="1:4" ht="15" thickBot="1" x14ac:dyDescent="0.35">
      <c r="A15" s="3" t="s">
        <v>56</v>
      </c>
      <c r="B15" s="3">
        <v>13</v>
      </c>
      <c r="C15" s="3" t="s">
        <v>56</v>
      </c>
      <c r="D15" s="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2D9-5AEC-48BF-ABAA-6FD695FEE0CA}">
  <dimension ref="A1:C22"/>
  <sheetViews>
    <sheetView workbookViewId="0">
      <selection activeCell="D16" sqref="D16"/>
    </sheetView>
  </sheetViews>
  <sheetFormatPr defaultRowHeight="14.4" x14ac:dyDescent="0.3"/>
  <cols>
    <col min="1" max="1" width="22.33203125" customWidth="1"/>
    <col min="2" max="2" width="11.4414062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30</v>
      </c>
      <c r="C2">
        <v>2</v>
      </c>
    </row>
    <row r="3" spans="1:3" x14ac:dyDescent="0.3">
      <c r="A3" t="s">
        <v>4</v>
      </c>
      <c r="B3">
        <v>20</v>
      </c>
      <c r="C3">
        <v>3</v>
      </c>
    </row>
    <row r="4" spans="1:3" x14ac:dyDescent="0.3">
      <c r="A4" t="s">
        <v>5</v>
      </c>
      <c r="B4">
        <v>15</v>
      </c>
      <c r="C4">
        <v>4</v>
      </c>
    </row>
    <row r="5" spans="1:3" x14ac:dyDescent="0.3">
      <c r="A5" t="s">
        <v>6</v>
      </c>
      <c r="B5">
        <v>60</v>
      </c>
      <c r="C5">
        <v>3</v>
      </c>
    </row>
    <row r="6" spans="1:3" x14ac:dyDescent="0.3">
      <c r="A6" t="s">
        <v>7</v>
      </c>
      <c r="B6">
        <v>40</v>
      </c>
      <c r="C6">
        <v>6</v>
      </c>
    </row>
    <row r="7" spans="1:3" x14ac:dyDescent="0.3">
      <c r="A7" t="s">
        <v>8</v>
      </c>
      <c r="B7">
        <v>60</v>
      </c>
      <c r="C7">
        <v>3</v>
      </c>
    </row>
    <row r="8" spans="1:3" x14ac:dyDescent="0.3">
      <c r="A8" t="s">
        <v>9</v>
      </c>
      <c r="B8">
        <v>40</v>
      </c>
      <c r="C8">
        <v>2</v>
      </c>
    </row>
    <row r="9" spans="1:3" x14ac:dyDescent="0.3">
      <c r="A9" t="s">
        <v>10</v>
      </c>
      <c r="B9">
        <v>30</v>
      </c>
      <c r="C9">
        <v>1</v>
      </c>
    </row>
    <row r="10" spans="1:3" x14ac:dyDescent="0.3">
      <c r="A10" t="s">
        <v>11</v>
      </c>
      <c r="B10">
        <v>70</v>
      </c>
      <c r="C10">
        <v>8</v>
      </c>
    </row>
    <row r="11" spans="1:3" x14ac:dyDescent="0.3">
      <c r="A11" t="s">
        <v>12</v>
      </c>
      <c r="B11">
        <v>80</v>
      </c>
      <c r="C11">
        <v>5</v>
      </c>
    </row>
    <row r="12" spans="1:3" x14ac:dyDescent="0.3">
      <c r="A12" t="s">
        <v>13</v>
      </c>
      <c r="B12">
        <v>90</v>
      </c>
      <c r="C12">
        <v>4</v>
      </c>
    </row>
    <row r="13" spans="1:3" x14ac:dyDescent="0.3">
      <c r="A13" t="s">
        <v>14</v>
      </c>
      <c r="B13">
        <v>84</v>
      </c>
      <c r="C13">
        <v>5</v>
      </c>
    </row>
    <row r="14" spans="1:3" x14ac:dyDescent="0.3">
      <c r="A14" t="s">
        <v>15</v>
      </c>
      <c r="B14">
        <v>69</v>
      </c>
      <c r="C14">
        <v>3</v>
      </c>
    </row>
    <row r="15" spans="1:3" x14ac:dyDescent="0.3">
      <c r="A15" s="1" t="s">
        <v>16</v>
      </c>
      <c r="B15">
        <f>SUM(B2:B14)</f>
        <v>688</v>
      </c>
    </row>
    <row r="16" spans="1:3" x14ac:dyDescent="0.3">
      <c r="A16" s="1" t="s">
        <v>17</v>
      </c>
      <c r="B16">
        <f>AVERAGE(B2:B14)</f>
        <v>52.92307692307692</v>
      </c>
    </row>
    <row r="17" spans="1:2" x14ac:dyDescent="0.3">
      <c r="A17" s="1" t="s">
        <v>18</v>
      </c>
      <c r="B17">
        <f>MEDIAN(B2:B14)</f>
        <v>60</v>
      </c>
    </row>
    <row r="18" spans="1:2" x14ac:dyDescent="0.3">
      <c r="A18" s="1" t="s">
        <v>19</v>
      </c>
      <c r="B18">
        <f>MODE(B2:B14)</f>
        <v>30</v>
      </c>
    </row>
    <row r="19" spans="1:2" x14ac:dyDescent="0.3">
      <c r="A19" s="1" t="s">
        <v>20</v>
      </c>
      <c r="B19">
        <f>MAX(B3:B14)-MIN(B3:B14)</f>
        <v>75</v>
      </c>
    </row>
    <row r="20" spans="1:2" x14ac:dyDescent="0.3">
      <c r="A20" s="1" t="s">
        <v>21</v>
      </c>
      <c r="B20">
        <f>_xlfn.VAR.S(B2:B14)</f>
        <v>635.91025641025647</v>
      </c>
    </row>
    <row r="21" spans="1:2" x14ac:dyDescent="0.3">
      <c r="A21" s="1" t="s">
        <v>22</v>
      </c>
      <c r="B21">
        <f>_xlfn.STDEV.S(B2:B14)</f>
        <v>25.217261080661725</v>
      </c>
    </row>
    <row r="22" spans="1:2" x14ac:dyDescent="0.3">
      <c r="A22" s="1" t="s">
        <v>23</v>
      </c>
      <c r="B22">
        <f>CORREL(B2:B14,C2:C14)</f>
        <v>0.42902310375290664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2026-05-26T08:31:23Z</dcterms:created>
  <dcterms:modified xsi:type="dcterms:W3CDTF">2026-05-27T01:29:14Z</dcterms:modified>
</cp:coreProperties>
</file>