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tics\tejavardhan\Day_1\Day_1\"/>
    </mc:Choice>
  </mc:AlternateContent>
  <xr:revisionPtr revIDLastSave="0" documentId="13_ncr:1_{E0A47873-70E6-48C9-A189-BA982F865724}" xr6:coauthVersionLast="47" xr6:coauthVersionMax="47" xr10:uidLastSave="{00000000-0000-0000-0000-000000000000}"/>
  <bookViews>
    <workbookView xWindow="0" yWindow="360" windowWidth="23256" windowHeight="12456" firstSheet="1" activeTab="1" xr2:uid="{E7C0BDFF-42B4-41CD-B2F1-22D05C8AAAD6}"/>
  </bookViews>
  <sheets>
    <sheet name="Sheet2" sheetId="4" r:id="rId1"/>
    <sheet name="Sheet3" sheetId="5" r:id="rId2"/>
    <sheet name="Sheet1" sheetId="1" r:id="rId3"/>
  </sheets>
  <definedNames>
    <definedName name="_xlchart.v1.0" hidden="1">Sheet1!$A$2:$A$14</definedName>
    <definedName name="_xlchart.v1.1" hidden="1">Sheet1!$B$1</definedName>
    <definedName name="_xlchart.v1.2" hidden="1">Sheet1!$B$2:$B$14</definedName>
    <definedName name="_xlchart.v1.3" hidden="1">Sheet1!$C$1</definedName>
    <definedName name="_xlchart.v1.4" hidden="1">Sheet1!$C$2:$C$14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6" i="1"/>
  <c r="B17" i="1"/>
  <c r="B15" i="1"/>
</calcChain>
</file>

<file path=xl/sharedStrings.xml><?xml version="1.0" encoding="utf-8"?>
<sst xmlns="http://schemas.openxmlformats.org/spreadsheetml/2006/main" count="78" uniqueCount="58">
  <si>
    <t>Name</t>
  </si>
  <si>
    <t>Marks</t>
  </si>
  <si>
    <t>Study Hours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</si>
  <si>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</si>
  <si>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</si>
  <si>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</si>
  <si>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</si>
  <si>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</si>
  <si>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</si>
  <si>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</si>
  <si>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</si>
  <si>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</si>
  <si>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</si>
  <si>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</si>
  <si>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</si>
  <si>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</si>
  <si>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sum</t>
  </si>
  <si>
    <t>Mean</t>
  </si>
  <si>
    <t>Median</t>
  </si>
  <si>
    <t>Mode</t>
  </si>
  <si>
    <t>Range</t>
  </si>
  <si>
    <t>Variance</t>
  </si>
  <si>
    <t>standard deviation</t>
  </si>
  <si>
    <t>Corelation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</si>
  <si>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</si>
  <si>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</si>
  <si>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</si>
  <si>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</si>
  <si>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</si>
  <si>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</si>
  <si>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</si>
  <si>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</si>
  <si>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</si>
  <si>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</si>
  <si>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</si>
  <si>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</si>
  <si>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</si>
  <si>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</si>
  <si>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</si>
  <si>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</si>
  <si>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</si>
  <si>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</si>
  <si>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</si>
  <si>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</si>
  <si>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</si>
  <si>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</si>
  <si>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</si>
  <si>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</si>
  <si>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Column1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</si>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</sst>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83E-2"/>
          <c:y val="0.12265055409740447"/>
          <c:w val="0.8901968503937007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60</c:v>
                </c:pt>
                <c:pt idx="1">
                  <c:v>20</c:v>
                </c:pt>
                <c:pt idx="2">
                  <c:v>40</c:v>
                </c:pt>
                <c:pt idx="3">
                  <c:v>58</c:v>
                </c:pt>
                <c:pt idx="4">
                  <c:v>94</c:v>
                </c:pt>
                <c:pt idx="5">
                  <c:v>78</c:v>
                </c:pt>
                <c:pt idx="6">
                  <c:v>59</c:v>
                </c:pt>
                <c:pt idx="7">
                  <c:v>83</c:v>
                </c:pt>
                <c:pt idx="8">
                  <c:v>72</c:v>
                </c:pt>
                <c:pt idx="9">
                  <c:v>66</c:v>
                </c:pt>
                <c:pt idx="10">
                  <c:v>79</c:v>
                </c:pt>
                <c:pt idx="11">
                  <c:v>52</c:v>
                </c:pt>
                <c:pt idx="1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A-40A8-84CF-212E370136A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Sheet1!$C$2:$C$14</c:f>
              <c:numCache>
                <c:formatCode>General</c:formatCode>
                <c:ptCount val="13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A-40A8-84CF-212E37013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4092656"/>
        <c:axId val="1044089776"/>
      </c:barChart>
      <c:catAx>
        <c:axId val="104409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89776"/>
        <c:crosses val="autoZero"/>
        <c:auto val="1"/>
        <c:lblAlgn val="ctr"/>
        <c:lblOffset val="100"/>
        <c:noMultiLvlLbl val="0"/>
      </c:catAx>
      <c:valAx>
        <c:axId val="104408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9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53-431F-8779-38A5A1BF11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53-431F-8779-38A5A1BF11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53-431F-8779-38A5A1BF11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53-431F-8779-38A5A1BF11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53-431F-8779-38A5A1BF111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53-431F-8779-38A5A1BF111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53-431F-8779-38A5A1BF111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53-431F-8779-38A5A1BF111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53-431F-8779-38A5A1BF111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53-431F-8779-38A5A1BF111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53-431F-8779-38A5A1BF111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53-431F-8779-38A5A1BF111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F553-431F-8779-38A5A1BF1116}"/>
              </c:ext>
            </c:extLst>
          </c:dPt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60</c:v>
                </c:pt>
                <c:pt idx="1">
                  <c:v>20</c:v>
                </c:pt>
                <c:pt idx="2">
                  <c:v>40</c:v>
                </c:pt>
                <c:pt idx="3">
                  <c:v>58</c:v>
                </c:pt>
                <c:pt idx="4">
                  <c:v>94</c:v>
                </c:pt>
                <c:pt idx="5">
                  <c:v>78</c:v>
                </c:pt>
                <c:pt idx="6">
                  <c:v>59</c:v>
                </c:pt>
                <c:pt idx="7">
                  <c:v>83</c:v>
                </c:pt>
                <c:pt idx="8">
                  <c:v>72</c:v>
                </c:pt>
                <c:pt idx="9">
                  <c:v>66</c:v>
                </c:pt>
                <c:pt idx="10">
                  <c:v>79</c:v>
                </c:pt>
                <c:pt idx="11">
                  <c:v>52</c:v>
                </c:pt>
                <c:pt idx="1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B-4C41-ABBA-9B2A0981C82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F553-431F-8779-38A5A1BF11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F553-431F-8779-38A5A1BF11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F553-431F-8779-38A5A1BF11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F553-431F-8779-38A5A1BF11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F553-431F-8779-38A5A1BF111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F553-431F-8779-38A5A1BF111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F553-431F-8779-38A5A1BF111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F553-431F-8779-38A5A1BF111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F553-431F-8779-38A5A1BF111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F553-431F-8779-38A5A1BF111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F553-431F-8779-38A5A1BF111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F553-431F-8779-38A5A1BF111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F553-431F-8779-38A5A1BF1116}"/>
              </c:ext>
            </c:extLst>
          </c:dPt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Sheet1!$C$2:$C$14</c:f>
              <c:numCache>
                <c:formatCode>General</c:formatCode>
                <c:ptCount val="13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7B-4C41-ABBA-9B2A0981C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7E7D255B-7B52-472A-ABA1-CF43F2DAA638}" formatIdx="0">
          <cx:tx>
            <cx:txData>
              <cx:f>_xlchart.v1.1</cx:f>
              <cx:v>Marks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6C0398BD-4876-4325-86C7-895EBD1832E2}" formatIdx="1">
          <cx:axisId val="2"/>
        </cx:series>
        <cx:series layoutId="clusteredColumn" hidden="1" uniqueId="{F16E7D14-FB4F-46C9-B840-D4162EF87245}" formatIdx="2">
          <cx:tx>
            <cx:txData>
              <cx:f>_xlchart.v1.3</cx:f>
              <cx:v>Study Hours</cx:v>
            </cx:txData>
          </cx:tx>
          <cx:dataId val="1"/>
          <cx:layoutPr>
            <cx:aggregation/>
          </cx:layoutPr>
          <cx:axisId val="1"/>
        </cx:series>
        <cx:series layoutId="paretoLine" ownerIdx="2" uniqueId="{FAFD5FE8-FB00-409E-A5DD-76C86816679E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0</xdr:row>
      <xdr:rowOff>42862</xdr:rowOff>
    </xdr:from>
    <xdr:to>
      <xdr:col>12</xdr:col>
      <xdr:colOff>133350</xdr:colOff>
      <xdr:row>14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E6048D-FD5D-3975-B42B-4211DB062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266700</xdr:colOff>
      <xdr:row>0</xdr:row>
      <xdr:rowOff>42862</xdr:rowOff>
    </xdr:from>
    <xdr:to>
      <xdr:col>19</xdr:col>
      <xdr:colOff>571500</xdr:colOff>
      <xdr:row>14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C8F8B147-D375-B837-7704-35096487BF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46820" y="42862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485775</xdr:colOff>
      <xdr:row>15</xdr:row>
      <xdr:rowOff>61912</xdr:rowOff>
    </xdr:from>
    <xdr:to>
      <xdr:col>12</xdr:col>
      <xdr:colOff>180975</xdr:colOff>
      <xdr:row>29</xdr:row>
      <xdr:rowOff>138112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36D2E04-BE96-48E8-96A1-F72091F0E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41C7-673F-4A63-891E-C79D159CD754}">
  <dimension ref="A1:I18"/>
  <sheetViews>
    <sheetView workbookViewId="0">
      <selection activeCell="J7" sqref="J7"/>
    </sheetView>
  </sheetViews>
  <sheetFormatPr defaultRowHeight="14.4" x14ac:dyDescent="0.3"/>
  <sheetData>
    <row r="1" spans="1:9" x14ac:dyDescent="0.3">
      <c r="A1" t="s">
        <v>24</v>
      </c>
    </row>
    <row r="2" spans="1:9" ht="15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0.56862885987059708</v>
      </c>
    </row>
    <row r="5" spans="1:9" x14ac:dyDescent="0.3">
      <c r="A5" s="2" t="s">
        <v>27</v>
      </c>
      <c r="B5" s="2">
        <v>0.32333878027773516</v>
      </c>
    </row>
    <row r="6" spans="1:9" x14ac:dyDescent="0.3">
      <c r="A6" s="2" t="s">
        <v>28</v>
      </c>
      <c r="B6" s="2">
        <v>0.26182412393934745</v>
      </c>
    </row>
    <row r="7" spans="1:9" x14ac:dyDescent="0.3">
      <c r="A7" s="2" t="s">
        <v>29</v>
      </c>
      <c r="B7" s="2">
        <v>16.599347620601321</v>
      </c>
    </row>
    <row r="8" spans="1:9" ht="15" thickBot="1" x14ac:dyDescent="0.35">
      <c r="A8" s="3" t="s">
        <v>30</v>
      </c>
      <c r="B8" s="3">
        <v>13</v>
      </c>
    </row>
    <row r="10" spans="1:9" ht="15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8</v>
      </c>
      <c r="F11" s="4" t="s">
        <v>39</v>
      </c>
    </row>
    <row r="12" spans="1:9" x14ac:dyDescent="0.3">
      <c r="A12" s="2" t="s">
        <v>32</v>
      </c>
      <c r="B12" s="2">
        <v>1</v>
      </c>
      <c r="C12" s="2">
        <v>1448.3090135055782</v>
      </c>
      <c r="D12" s="2">
        <v>1448.3090135055782</v>
      </c>
      <c r="E12" s="2">
        <v>5.2562884932506444</v>
      </c>
      <c r="F12" s="2">
        <v>4.2578098200318493E-2</v>
      </c>
    </row>
    <row r="13" spans="1:9" x14ac:dyDescent="0.3">
      <c r="A13" s="2" t="s">
        <v>33</v>
      </c>
      <c r="B13" s="2">
        <v>11</v>
      </c>
      <c r="C13" s="2">
        <v>3030.9217557251905</v>
      </c>
      <c r="D13" s="2">
        <v>275.53834142956276</v>
      </c>
      <c r="E13" s="2"/>
      <c r="F13" s="2"/>
    </row>
    <row r="14" spans="1:9" ht="15" thickBot="1" x14ac:dyDescent="0.35">
      <c r="A14" s="3" t="s">
        <v>34</v>
      </c>
      <c r="B14" s="3">
        <v>12</v>
      </c>
      <c r="C14" s="3">
        <v>4479.2307692307686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40</v>
      </c>
      <c r="C16" s="4" t="s">
        <v>29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35</v>
      </c>
      <c r="B17" s="2">
        <v>44.095419847328245</v>
      </c>
      <c r="C17" s="2">
        <v>9.6201470457809837</v>
      </c>
      <c r="D17" s="2">
        <v>4.5836534137663474</v>
      </c>
      <c r="E17" s="2">
        <v>7.8563304021833538E-4</v>
      </c>
      <c r="F17" s="2">
        <v>22.921618961664883</v>
      </c>
      <c r="G17" s="2">
        <v>65.269220732991613</v>
      </c>
      <c r="H17" s="2">
        <v>22.921618961664883</v>
      </c>
      <c r="I17" s="2">
        <v>65.269220732991613</v>
      </c>
    </row>
    <row r="18" spans="1:9" ht="15" thickBot="1" x14ac:dyDescent="0.35">
      <c r="A18" s="3" t="s">
        <v>47</v>
      </c>
      <c r="B18" s="3">
        <v>5.9942748091603058</v>
      </c>
      <c r="C18" s="3">
        <v>2.6145506081914909</v>
      </c>
      <c r="D18" s="3">
        <v>2.2926596985271597</v>
      </c>
      <c r="E18" s="3">
        <v>4.2578098200318493E-2</v>
      </c>
      <c r="F18" s="3">
        <v>0.2396877202222667</v>
      </c>
      <c r="G18" s="3">
        <v>11.748861898098344</v>
      </c>
      <c r="H18" s="3">
        <v>0.2396877202222667</v>
      </c>
      <c r="I18" s="3">
        <v>11.748861898098344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0054B-7611-4E81-9540-0839628EE92C}">
  <dimension ref="A1:D15"/>
  <sheetViews>
    <sheetView tabSelected="1" workbookViewId="0">
      <selection activeCell="G10" sqref="G10"/>
    </sheetView>
  </sheetViews>
  <sheetFormatPr defaultRowHeight="14.4" x14ac:dyDescent="0.3"/>
  <sheetData>
    <row r="1" spans="1:4" x14ac:dyDescent="0.3">
      <c r="A1" s="4" t="s">
        <v>48</v>
      </c>
      <c r="B1" s="4"/>
      <c r="C1" s="4" t="s">
        <v>57</v>
      </c>
      <c r="D1" s="4"/>
    </row>
    <row r="2" spans="1:4" x14ac:dyDescent="0.3">
      <c r="A2" s="2"/>
      <c r="B2" s="2"/>
      <c r="C2" s="2"/>
      <c r="D2" s="2"/>
    </row>
    <row r="3" spans="1:4" x14ac:dyDescent="0.3">
      <c r="A3" s="2" t="s">
        <v>17</v>
      </c>
      <c r="B3" s="2">
        <v>63.46153846153846</v>
      </c>
      <c r="C3" s="2" t="s">
        <v>17</v>
      </c>
      <c r="D3" s="2">
        <v>3.2307692307692308</v>
      </c>
    </row>
    <row r="4" spans="1:4" x14ac:dyDescent="0.3">
      <c r="A4" s="2" t="s">
        <v>29</v>
      </c>
      <c r="B4" s="2">
        <v>5.3584529251901873</v>
      </c>
      <c r="C4" s="2" t="s">
        <v>29</v>
      </c>
      <c r="D4" s="2">
        <v>0.50831352824612852</v>
      </c>
    </row>
    <row r="5" spans="1:4" x14ac:dyDescent="0.3">
      <c r="A5" s="2" t="s">
        <v>18</v>
      </c>
      <c r="B5" s="2">
        <v>64</v>
      </c>
      <c r="C5" s="2" t="s">
        <v>18</v>
      </c>
      <c r="D5" s="2">
        <v>3</v>
      </c>
    </row>
    <row r="6" spans="1:4" x14ac:dyDescent="0.3">
      <c r="A6" s="2" t="s">
        <v>19</v>
      </c>
      <c r="B6" s="2" t="e">
        <v>#N/A</v>
      </c>
      <c r="C6" s="2" t="s">
        <v>19</v>
      </c>
      <c r="D6" s="2">
        <v>1</v>
      </c>
    </row>
    <row r="7" spans="1:4" x14ac:dyDescent="0.3">
      <c r="A7" s="2" t="s">
        <v>49</v>
      </c>
      <c r="B7" s="2">
        <v>19.320176778933224</v>
      </c>
      <c r="C7" s="2" t="s">
        <v>49</v>
      </c>
      <c r="D7" s="2">
        <v>1.8327504901034293</v>
      </c>
    </row>
    <row r="8" spans="1:4" x14ac:dyDescent="0.3">
      <c r="A8" s="2" t="s">
        <v>50</v>
      </c>
      <c r="B8" s="2">
        <v>373.26923076923049</v>
      </c>
      <c r="C8" s="2" t="s">
        <v>50</v>
      </c>
      <c r="D8" s="2">
        <v>3.3589743589743599</v>
      </c>
    </row>
    <row r="9" spans="1:4" x14ac:dyDescent="0.3">
      <c r="A9" s="2" t="s">
        <v>51</v>
      </c>
      <c r="B9" s="2">
        <v>1.0339508170530443</v>
      </c>
      <c r="C9" s="2" t="s">
        <v>51</v>
      </c>
      <c r="D9" s="2">
        <v>-1.282156687203011</v>
      </c>
    </row>
    <row r="10" spans="1:4" x14ac:dyDescent="0.3">
      <c r="A10" s="2" t="s">
        <v>52</v>
      </c>
      <c r="B10" s="2">
        <v>-0.72932384127882477</v>
      </c>
      <c r="C10" s="2" t="s">
        <v>52</v>
      </c>
      <c r="D10" s="2">
        <v>0.27092077729678343</v>
      </c>
    </row>
    <row r="11" spans="1:4" x14ac:dyDescent="0.3">
      <c r="A11" s="2" t="s">
        <v>20</v>
      </c>
      <c r="B11" s="2">
        <v>74</v>
      </c>
      <c r="C11" s="2" t="s">
        <v>20</v>
      </c>
      <c r="D11" s="2">
        <v>5</v>
      </c>
    </row>
    <row r="12" spans="1:4" x14ac:dyDescent="0.3">
      <c r="A12" s="2" t="s">
        <v>53</v>
      </c>
      <c r="B12" s="2">
        <v>20</v>
      </c>
      <c r="C12" s="2" t="s">
        <v>53</v>
      </c>
      <c r="D12" s="2">
        <v>1</v>
      </c>
    </row>
    <row r="13" spans="1:4" x14ac:dyDescent="0.3">
      <c r="A13" s="2" t="s">
        <v>54</v>
      </c>
      <c r="B13" s="2">
        <v>94</v>
      </c>
      <c r="C13" s="2" t="s">
        <v>54</v>
      </c>
      <c r="D13" s="2">
        <v>6</v>
      </c>
    </row>
    <row r="14" spans="1:4" x14ac:dyDescent="0.3">
      <c r="A14" s="2" t="s">
        <v>55</v>
      </c>
      <c r="B14" s="2">
        <v>825</v>
      </c>
      <c r="C14" s="2" t="s">
        <v>55</v>
      </c>
      <c r="D14" s="2">
        <v>42</v>
      </c>
    </row>
    <row r="15" spans="1:4" ht="15" thickBot="1" x14ac:dyDescent="0.35">
      <c r="A15" s="3" t="s">
        <v>56</v>
      </c>
      <c r="B15" s="3">
        <v>13</v>
      </c>
      <c r="C15" s="3" t="s">
        <v>56</v>
      </c>
      <c r="D15" s="3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12D9-5AEC-48BF-ABAA-6FD695FEE0CA}">
  <dimension ref="A1:C22"/>
  <sheetViews>
    <sheetView workbookViewId="0">
      <selection activeCell="C15" sqref="C15"/>
    </sheetView>
  </sheetViews>
  <sheetFormatPr defaultRowHeight="14.4" x14ac:dyDescent="0.3"/>
  <cols>
    <col min="1" max="1" width="22.33203125" customWidth="1"/>
    <col min="2" max="2" width="11.44140625" customWidth="1"/>
    <col min="3" max="3" width="11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60</v>
      </c>
      <c r="C2">
        <v>2</v>
      </c>
    </row>
    <row r="3" spans="1:3" x14ac:dyDescent="0.3">
      <c r="A3" t="s">
        <v>4</v>
      </c>
      <c r="B3">
        <v>20</v>
      </c>
      <c r="C3">
        <v>1</v>
      </c>
    </row>
    <row r="4" spans="1:3" x14ac:dyDescent="0.3">
      <c r="A4" t="s">
        <v>5</v>
      </c>
      <c r="B4">
        <v>40</v>
      </c>
      <c r="C4">
        <v>1</v>
      </c>
    </row>
    <row r="5" spans="1:3" x14ac:dyDescent="0.3">
      <c r="A5" t="s">
        <v>6</v>
      </c>
      <c r="B5">
        <v>58</v>
      </c>
      <c r="C5">
        <v>3</v>
      </c>
    </row>
    <row r="6" spans="1:3" x14ac:dyDescent="0.3">
      <c r="A6" t="s">
        <v>7</v>
      </c>
      <c r="B6">
        <v>94</v>
      </c>
      <c r="C6">
        <v>6</v>
      </c>
    </row>
    <row r="7" spans="1:3" x14ac:dyDescent="0.3">
      <c r="A7" t="s">
        <v>8</v>
      </c>
      <c r="B7">
        <v>78</v>
      </c>
      <c r="C7">
        <v>3</v>
      </c>
    </row>
    <row r="8" spans="1:3" x14ac:dyDescent="0.3">
      <c r="A8" t="s">
        <v>9</v>
      </c>
      <c r="B8">
        <v>59</v>
      </c>
      <c r="C8">
        <v>2</v>
      </c>
    </row>
    <row r="9" spans="1:3" x14ac:dyDescent="0.3">
      <c r="A9" t="s">
        <v>10</v>
      </c>
      <c r="B9">
        <v>83</v>
      </c>
      <c r="C9">
        <v>1</v>
      </c>
    </row>
    <row r="10" spans="1:3" x14ac:dyDescent="0.3">
      <c r="A10" t="s">
        <v>11</v>
      </c>
      <c r="B10">
        <v>72</v>
      </c>
      <c r="C10">
        <v>6</v>
      </c>
    </row>
    <row r="11" spans="1:3" x14ac:dyDescent="0.3">
      <c r="A11" t="s">
        <v>12</v>
      </c>
      <c r="B11">
        <v>66</v>
      </c>
      <c r="C11">
        <v>5</v>
      </c>
    </row>
    <row r="12" spans="1:3" x14ac:dyDescent="0.3">
      <c r="A12" t="s">
        <v>13</v>
      </c>
      <c r="B12">
        <v>79</v>
      </c>
      <c r="C12">
        <v>4</v>
      </c>
    </row>
    <row r="13" spans="1:3" x14ac:dyDescent="0.3">
      <c r="A13" t="s">
        <v>14</v>
      </c>
      <c r="B13">
        <v>52</v>
      </c>
      <c r="C13">
        <v>3</v>
      </c>
    </row>
    <row r="14" spans="1:3" x14ac:dyDescent="0.3">
      <c r="A14" t="s">
        <v>15</v>
      </c>
      <c r="B14">
        <v>64</v>
      </c>
      <c r="C14">
        <v>5</v>
      </c>
    </row>
    <row r="15" spans="1:3" x14ac:dyDescent="0.3">
      <c r="A15" s="1" t="s">
        <v>16</v>
      </c>
      <c r="B15">
        <f>SUM(B2:B14)</f>
        <v>825</v>
      </c>
    </row>
    <row r="16" spans="1:3" x14ac:dyDescent="0.3">
      <c r="A16" s="1" t="s">
        <v>17</v>
      </c>
      <c r="B16">
        <f>AVERAGE(B2:B14)</f>
        <v>63.46153846153846</v>
      </c>
    </row>
    <row r="17" spans="1:2" x14ac:dyDescent="0.3">
      <c r="A17" s="1" t="s">
        <v>18</v>
      </c>
      <c r="B17">
        <f>MEDIAN(B2:B14)</f>
        <v>64</v>
      </c>
    </row>
    <row r="18" spans="1:2" x14ac:dyDescent="0.3">
      <c r="A18" s="1" t="s">
        <v>19</v>
      </c>
      <c r="B18" t="e">
        <f>MODE(B2:B14)</f>
        <v>#N/A</v>
      </c>
    </row>
    <row r="19" spans="1:2" x14ac:dyDescent="0.3">
      <c r="A19" s="1" t="s">
        <v>20</v>
      </c>
      <c r="B19">
        <f>MAX(B3:B14)-MIN(B3:B14)</f>
        <v>74</v>
      </c>
    </row>
    <row r="20" spans="1:2" x14ac:dyDescent="0.3">
      <c r="A20" s="1" t="s">
        <v>21</v>
      </c>
      <c r="B20">
        <f>_xlfn.VAR.S(B2:B14)</f>
        <v>373.26923076923049</v>
      </c>
    </row>
    <row r="21" spans="1:2" x14ac:dyDescent="0.3">
      <c r="A21" s="1" t="s">
        <v>22</v>
      </c>
      <c r="B21">
        <f>_xlfn.STDEV.S(B2:B14)</f>
        <v>19.320176778933224</v>
      </c>
    </row>
    <row r="22" spans="1:2" x14ac:dyDescent="0.3">
      <c r="A22" s="1" t="s">
        <v>23</v>
      </c>
      <c r="B22">
        <f>CORREL(B2:B14,C2:C14)</f>
        <v>0.56862885987059719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Tejaswa B</cp:lastModifiedBy>
  <dcterms:created xsi:type="dcterms:W3CDTF">2026-05-26T08:31:23Z</dcterms:created>
  <dcterms:modified xsi:type="dcterms:W3CDTF">2026-05-27T02:15:11Z</dcterms:modified>
</cp:coreProperties>
</file>